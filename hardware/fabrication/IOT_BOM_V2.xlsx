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:\My Drive\HK1_NAM3\IOT\Schematic\IOT\SanXuat_2026-10-01\2_BOM\"/>
    </mc:Choice>
  </mc:AlternateContent>
  <xr:revisionPtr revIDLastSave="0" documentId="13_ncr:1_{6380E588-9525-4F07-8E51-19F4936DB2D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BOM" sheetId="1" r:id="rId1"/>
    <sheet name="Bom_Chec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8" i="2" l="1"/>
  <c r="C38" i="1"/>
</calcChain>
</file>

<file path=xl/sharedStrings.xml><?xml version="1.0" encoding="utf-8"?>
<sst xmlns="http://schemas.openxmlformats.org/spreadsheetml/2006/main" count="301" uniqueCount="146">
  <si>
    <t>Status</t>
  </si>
  <si>
    <t>Reference</t>
  </si>
  <si>
    <t>Qty</t>
  </si>
  <si>
    <t>Value</t>
  </si>
  <si>
    <t>Footprint</t>
  </si>
  <si>
    <t>Link</t>
  </si>
  <si>
    <t>Note</t>
  </si>
  <si>
    <t>Datasheet</t>
  </si>
  <si>
    <t>Thế Giới IC</t>
  </si>
  <si>
    <t>C1,C5</t>
  </si>
  <si>
    <t>10uF</t>
  </si>
  <si>
    <t>Capacitor_SMD:C_0805_2012Metric</t>
  </si>
  <si>
    <t>https://www.thegioiic.com/tu-gom-0805-10uf-16v</t>
  </si>
  <si>
    <t>Tụ Gốm 0805 10uF 16V</t>
  </si>
  <si>
    <t>C3,C6,C8,C9,C10</t>
  </si>
  <si>
    <t>100nF</t>
  </si>
  <si>
    <t>https://www.thegioiic.com/tu-gom-0805-100nf-0-1uf-50v</t>
  </si>
  <si>
    <t>Tụ Gốm 0805 100nF (0.1uF) 50V</t>
  </si>
  <si>
    <t>C4</t>
  </si>
  <si>
    <t>4.7uF</t>
  </si>
  <si>
    <t>https://www.thegioiic.com/tu-gom-0805-4-7uf-50v</t>
  </si>
  <si>
    <t>Tụ Gốm 0805 4.7uF 50V</t>
  </si>
  <si>
    <t>C7</t>
  </si>
  <si>
    <t>1uF</t>
  </si>
  <si>
    <t>https://www.thegioiic.com/tu-gom-0805-1uf-16v</t>
  </si>
  <si>
    <t>Tụ Gốm 0805 1uF 16V</t>
  </si>
  <si>
    <t>D1</t>
  </si>
  <si>
    <t>SS14</t>
  </si>
  <si>
    <t>Diode_SMD:D_SMA</t>
  </si>
  <si>
    <t>https://www.thegioiic.com/ss14-sma-diode-schottky-1a-1n5819</t>
  </si>
  <si>
    <t>SS14 SMA Diode Schottky 1A 1N5819</t>
  </si>
  <si>
    <t>https://www.vishay.com/docs/88746/ss12.pdf</t>
  </si>
  <si>
    <t>D2</t>
  </si>
  <si>
    <t>PWR (red)</t>
  </si>
  <si>
    <t>LED_SMD:LED_0805_2012Metric</t>
  </si>
  <si>
    <t>https://www.thegioiic.com/led-do-0805-dan-smd-trong-suot</t>
  </si>
  <si>
    <t>LED Đỏ 0805 Dán SMD Trong Suốt</t>
  </si>
  <si>
    <t>D3</t>
  </si>
  <si>
    <t>STATUS (green)</t>
  </si>
  <si>
    <t>https://www.thegioiic.com/led-xanh-la-0805-dan-smd-trong-suot</t>
  </si>
  <si>
    <t>LED Xanh Lá 0805 Dán SMD Trong Suốt</t>
  </si>
  <si>
    <t>D4</t>
  </si>
  <si>
    <t>USB (blue)</t>
  </si>
  <si>
    <t>https://www.thegioiic.com/led-xanh-duong-0805-dan-smd-trong-suot</t>
  </si>
  <si>
    <t>LED Xanh Dương 0805 Dán SMD Trong Suốt (báo cắm cáp USB-C)</t>
  </si>
  <si>
    <t>J2</t>
  </si>
  <si>
    <t>USB-C 16P</t>
  </si>
  <si>
    <t>Connector_USB:USB_C_Receptacle_HRO_TYPE-C-31-M-12</t>
  </si>
  <si>
    <t>https://www.thegioiic.com/cong-usb-cai-3-1-type-c-16-chan-thang-dan-smd</t>
  </si>
  <si>
    <t>Cổng USB Cái 3.1 Type C 16 Chân Thẳng Dán SMD</t>
  </si>
  <si>
    <t>https://www.usb.org/sites/default/files/documents/usb_type-c.zip</t>
  </si>
  <si>
    <t>Q1</t>
  </si>
  <si>
    <t>AO3401A</t>
  </si>
  <si>
    <t>Package_TO_SOT_SMD:SOT-23</t>
  </si>
  <si>
    <t>https://www.thegioiic.com/ao3401a-mosfet-kenh-p-30v-4a-sot23</t>
  </si>
  <si>
    <t>AO3401A MOSFET Kênh P 30V 4A SOT23</t>
  </si>
  <si>
    <t>http://www.aosmd.com/pdfs/datasheet/AO3401A.pdf</t>
  </si>
  <si>
    <t>R1,R15</t>
  </si>
  <si>
    <t>100k</t>
  </si>
  <si>
    <t>Resistor_SMD:R_0805_2012Metric</t>
  </si>
  <si>
    <t>https://www.thegioiic.com/dien-tro-100-kohm-0805-1-</t>
  </si>
  <si>
    <t>Điện Trở 100 KOhm 0805 1%</t>
  </si>
  <si>
    <t>R2,R10,R16</t>
  </si>
  <si>
    <t>1k</t>
  </si>
  <si>
    <t>https://www.thegioiic.com/dien-tro-1-kohm-0805-5-</t>
  </si>
  <si>
    <t>Điện Trở 1 KOhm 0805 5%</t>
  </si>
  <si>
    <t>R3,R4</t>
  </si>
  <si>
    <t>5.1k</t>
  </si>
  <si>
    <t>https://www.thegioiic.com/dien-tro-5-1-kohm-0805-5-</t>
  </si>
  <si>
    <t>Điện Trở 5.1 KOhm 0805 5%</t>
  </si>
  <si>
    <t>R5,R6</t>
  </si>
  <si>
    <t>22R</t>
  </si>
  <si>
    <t>https://www.thegioiic.com/dien-tro-22-ohm-0805-5-</t>
  </si>
  <si>
    <t>Điện Trở 22 Ohm 0805 5% (Khử nhiễu dùng 22 Ohm)</t>
  </si>
  <si>
    <t>R7,R8,R11,R17</t>
  </si>
  <si>
    <t>10k</t>
  </si>
  <si>
    <t>https://www.thegioiic.com/dien-tro-10-kohm-0805-5-</t>
  </si>
  <si>
    <t>Điện Trở 10 KOhm 0805 5%</t>
  </si>
  <si>
    <t>R12,R13</t>
  </si>
  <si>
    <t>4.7k</t>
  </si>
  <si>
    <t>https://www.thegioiic.com/dien-tro-4-7-kohm-0805-5-</t>
  </si>
  <si>
    <t>Điện Trở 4.7 KOhm 0805 5%</t>
  </si>
  <si>
    <t>R14</t>
  </si>
  <si>
    <t>200k</t>
  </si>
  <si>
    <t>https://www.thegioiic.com/dien-tro-200-kohm-0805-1-</t>
  </si>
  <si>
    <t>Điện Trở 200 KOhm 0805 1%</t>
  </si>
  <si>
    <t>SW1</t>
  </si>
  <si>
    <t>MSS-22D18G2</t>
  </si>
  <si>
    <t>IOT:SW_DPDT_MSS-22D18G2</t>
  </si>
  <si>
    <t>https://www.thegioiic.com/mss-22d18g2-cong-tac-truot-6-chan-smd-2p2t</t>
  </si>
  <si>
    <t>MSS-22D18G2 Công Tắc Trượt 6 Chân SMD 2P2T</t>
  </si>
  <si>
    <t>SW2,SW4</t>
  </si>
  <si>
    <t>RESET, BOOT</t>
  </si>
  <si>
    <t>IOT:SW_SPST_3x4mm_2P</t>
  </si>
  <si>
    <t>https://www.thegioiic.com/nut-nhan-3x4mm-cao-2-5mm-2-chan-smd</t>
  </si>
  <si>
    <t>Nút nhấn 3x4mm cao 2.5mm 2 chân SMD — SW2 = RESET, SW4 = BOOT</t>
  </si>
  <si>
    <t>SW3,SW5,SW6,SW7,SW8,SW9,SW10,SW11,SW12,SW13,SW14,SW15,SW16</t>
  </si>
  <si>
    <t>KEY (0-9, OK, MODE, DEL)</t>
  </si>
  <si>
    <t>Button_Switch_SMD:SW_SPST_PTS645Sx43SMTR92</t>
  </si>
  <si>
    <t>https://www.thegioiic.com/nut-nhan-6x6mm-cao-7mm-4-chan-smd</t>
  </si>
  <si>
    <t>Nút nhấn 6x6mm cao 7mm 4 chân SMD — 13 phím bàn phím</t>
  </si>
  <si>
    <t>U2</t>
  </si>
  <si>
    <t>AMS1117-3.3</t>
  </si>
  <si>
    <t>Package_TO_SOT_SMD:SOT-223-3_TabPin2</t>
  </si>
  <si>
    <t>https://www.thegioiic.com/ams1117-3-3v-ic-on-ap-3-3v-1a-sot-223</t>
  </si>
  <si>
    <t>AMS1117-3.3V IC Ổn Áp 3.3V 1A SOT-223</t>
  </si>
  <si>
    <t>http://www.advanced-monolithic.com/pdf/ds1117.pdf</t>
  </si>
  <si>
    <t>IC Đây Rồi</t>
  </si>
  <si>
    <t>C2</t>
  </si>
  <si>
    <t>22uF Ta</t>
  </si>
  <si>
    <t>Capacitor_Tantalum_SMD:CP_EIA-3528-21_Kemet-B</t>
  </si>
  <si>
    <t>https://icdayroi.com/tu-tantalum-22uf-16v-smd3528</t>
  </si>
  <si>
    <t>Tụ Tantalum 22uF 16V SMD3528</t>
  </si>
  <si>
    <t>U3</t>
  </si>
  <si>
    <t>USBLC6-2SC6</t>
  </si>
  <si>
    <t>Package_TO_SOT_SMD:SOT-23-6</t>
  </si>
  <si>
    <t>https://icdayroi.com/usblc6-2sc6-tvs-diode-5-25v-17v-sot23-6</t>
  </si>
  <si>
    <t>USBLC6-2SC6 TVS diode chống ESD cho USB 5.25V 17V SOT23-6</t>
  </si>
  <si>
    <t>https://www.st.com/resource/en/datasheet/usblc6-2.pdf</t>
  </si>
  <si>
    <t>Điện Tử Tuyết Nga</t>
  </si>
  <si>
    <t>U1</t>
  </si>
  <si>
    <t>ESP32-C3-MINI-1-N4</t>
  </si>
  <si>
    <t>IOT:ESP32-C3-MINI-1-N4</t>
  </si>
  <si>
    <t>https://dientutuyetnga.com/products/thu-phat-wifi-esp32-c3-mini-1-n4-2-4ghz-ble-5-0</t>
  </si>
  <si>
    <t>Thu Phát Wifi ESP32-C3-Mini-1-N4 2.4Ghz BLE 5.0</t>
  </si>
  <si>
    <t>https://www.espressif.com/sites/default/files/documentation/esp32-c3-mini-1_datasheet_en.pdf</t>
  </si>
  <si>
    <t>Đã có</t>
  </si>
  <si>
    <t>H1,H2,H3,H4</t>
  </si>
  <si>
    <t>M3</t>
  </si>
  <si>
    <t>MountingHole:MountingHole_3.2mm_M3_Pad_Via</t>
  </si>
  <si>
    <t xml:space="preserve">Lỗ vít M3 </t>
  </si>
  <si>
    <t>J1</t>
  </si>
  <si>
    <t>BATTERY 4xAAA</t>
  </si>
  <si>
    <t>Connector_PinHeader_2.54mm:PinHeader_1x02_P2.54mm_Vertical</t>
  </si>
  <si>
    <t>Header đã có</t>
  </si>
  <si>
    <t xml:space="preserve">Header  cắm dây hộp pin 4xAAA </t>
  </si>
  <si>
    <t>J3</t>
  </si>
  <si>
    <t>OLED 0.91 I2C</t>
  </si>
  <si>
    <t>Connector_PinHeader_2.54mm:PinHeader_1x04_P2.54mm_Vertical</t>
  </si>
  <si>
    <t>Header  nối OLED 0.91</t>
  </si>
  <si>
    <t>TỔNG</t>
  </si>
  <si>
    <t>57 vị trí linh kiện; cần mua 51 (trừ 4 lỗ M3 làm sẵn trên PCB và 2 header J1/J3 đã có)</t>
  </si>
  <si>
    <t>MountingHole</t>
  </si>
  <si>
    <t>Connector_PinHeader</t>
  </si>
  <si>
    <t>Connector_PinHeade</t>
  </si>
  <si>
    <t>57 vị trí linh kiện; cần mua 51 (trừ 4 lỗ M3  và 2 header J1/J3 đã có)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</si>
</sst>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  <font>
      <u/>
      <sz val="10"/>
      <color rgb="FF0563C1"/>
      <name val="Arial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hegioiic.com/led-xanh-la-0805-dan-smd-trong-suot" TargetMode="External"/><Relationship Id="rId13" Type="http://schemas.openxmlformats.org/officeDocument/2006/relationships/hyperlink" Target="http://www.aosmd.com/pdfs/datasheet/AO3401A.pdf" TargetMode="External"/><Relationship Id="rId18" Type="http://schemas.openxmlformats.org/officeDocument/2006/relationships/hyperlink" Target="https://www.thegioiic.com/dien-tro-10-kohm-0805-5-" TargetMode="External"/><Relationship Id="rId26" Type="http://schemas.openxmlformats.org/officeDocument/2006/relationships/hyperlink" Target="https://icdayroi.com/tu-tantalum-22uf-16v-smd3528" TargetMode="External"/><Relationship Id="rId3" Type="http://schemas.openxmlformats.org/officeDocument/2006/relationships/hyperlink" Target="https://www.thegioiic.com/tu-gom-0805-4-7uf-50v" TargetMode="External"/><Relationship Id="rId21" Type="http://schemas.openxmlformats.org/officeDocument/2006/relationships/hyperlink" Target="https://www.thegioiic.com/mss-22d18g2-cong-tac-truot-6-chan-smd-2p2t" TargetMode="External"/><Relationship Id="rId7" Type="http://schemas.openxmlformats.org/officeDocument/2006/relationships/hyperlink" Target="https://www.thegioiic.com/led-do-0805-dan-smd-trong-suot" TargetMode="External"/><Relationship Id="rId12" Type="http://schemas.openxmlformats.org/officeDocument/2006/relationships/hyperlink" Target="https://www.thegioiic.com/ao3401a-mosfet-kenh-p-30v-4a-sot23" TargetMode="External"/><Relationship Id="rId17" Type="http://schemas.openxmlformats.org/officeDocument/2006/relationships/hyperlink" Target="https://www.thegioiic.com/dien-tro-22-ohm-0805-5-" TargetMode="External"/><Relationship Id="rId25" Type="http://schemas.openxmlformats.org/officeDocument/2006/relationships/hyperlink" Target="http://www.advanced-monolithic.com/pdf/ds1117.pdf" TargetMode="External"/><Relationship Id="rId2" Type="http://schemas.openxmlformats.org/officeDocument/2006/relationships/hyperlink" Target="https://www.thegioiic.com/tu-gom-0805-100nf-0-1uf-50v" TargetMode="External"/><Relationship Id="rId16" Type="http://schemas.openxmlformats.org/officeDocument/2006/relationships/hyperlink" Target="https://www.thegioiic.com/dien-tro-5-1-kohm-0805-5-" TargetMode="External"/><Relationship Id="rId20" Type="http://schemas.openxmlformats.org/officeDocument/2006/relationships/hyperlink" Target="https://www.thegioiic.com/dien-tro-200-kohm-0805-1-" TargetMode="External"/><Relationship Id="rId29" Type="http://schemas.openxmlformats.org/officeDocument/2006/relationships/hyperlink" Target="https://dientutuyetnga.com/products/thu-phat-wifi-esp32-c3-mini-1-n4-2-4ghz-ble-5-0" TargetMode="External"/><Relationship Id="rId1" Type="http://schemas.openxmlformats.org/officeDocument/2006/relationships/hyperlink" Target="https://www.thegioiic.com/tu-gom-0805-10uf-16v" TargetMode="External"/><Relationship Id="rId6" Type="http://schemas.openxmlformats.org/officeDocument/2006/relationships/hyperlink" Target="https://www.vishay.com/docs/88746/ss12.pdf" TargetMode="External"/><Relationship Id="rId11" Type="http://schemas.openxmlformats.org/officeDocument/2006/relationships/hyperlink" Target="https://www.usb.org/sites/default/files/documents/usb_type-c.zip" TargetMode="External"/><Relationship Id="rId24" Type="http://schemas.openxmlformats.org/officeDocument/2006/relationships/hyperlink" Target="https://www.thegioiic.com/ams1117-3-3v-ic-on-ap-3-3v-1a-sot-223" TargetMode="External"/><Relationship Id="rId5" Type="http://schemas.openxmlformats.org/officeDocument/2006/relationships/hyperlink" Target="https://www.thegioiic.com/ss14-sma-diode-schottky-1a-1n5819" TargetMode="External"/><Relationship Id="rId15" Type="http://schemas.openxmlformats.org/officeDocument/2006/relationships/hyperlink" Target="https://www.thegioiic.com/dien-tro-1-kohm-0805-5-" TargetMode="External"/><Relationship Id="rId23" Type="http://schemas.openxmlformats.org/officeDocument/2006/relationships/hyperlink" Target="https://www.thegioiic.com/nut-nhan-6x6mm-cao-7mm-4-chan-smd" TargetMode="External"/><Relationship Id="rId28" Type="http://schemas.openxmlformats.org/officeDocument/2006/relationships/hyperlink" Target="https://www.st.com/resource/en/datasheet/usblc6-2.pdf" TargetMode="External"/><Relationship Id="rId10" Type="http://schemas.openxmlformats.org/officeDocument/2006/relationships/hyperlink" Target="https://www.thegioiic.com/cong-usb-cai-3-1-type-c-16-chan-thang-dan-smd" TargetMode="External"/><Relationship Id="rId19" Type="http://schemas.openxmlformats.org/officeDocument/2006/relationships/hyperlink" Target="https://www.thegioiic.com/dien-tro-4-7-kohm-0805-5-" TargetMode="External"/><Relationship Id="rId4" Type="http://schemas.openxmlformats.org/officeDocument/2006/relationships/hyperlink" Target="https://www.thegioiic.com/tu-gom-0805-1uf-16v" TargetMode="External"/><Relationship Id="rId9" Type="http://schemas.openxmlformats.org/officeDocument/2006/relationships/hyperlink" Target="https://www.thegioiic.com/led-xanh-duong-0805-dan-smd-trong-suot" TargetMode="External"/><Relationship Id="rId14" Type="http://schemas.openxmlformats.org/officeDocument/2006/relationships/hyperlink" Target="https://www.thegioiic.com/dien-tro-100-kohm-0805-1-" TargetMode="External"/><Relationship Id="rId22" Type="http://schemas.openxmlformats.org/officeDocument/2006/relationships/hyperlink" Target="https://www.thegioiic.com/nut-nhan-3x4mm-cao-2-5mm-2-chan-smd" TargetMode="External"/><Relationship Id="rId27" Type="http://schemas.openxmlformats.org/officeDocument/2006/relationships/hyperlink" Target="https://icdayroi.com/usblc6-2sc6-tvs-diode-5-25v-17v-sot23-6" TargetMode="External"/><Relationship Id="rId30" Type="http://schemas.openxmlformats.org/officeDocument/2006/relationships/hyperlink" Target="https://www.espressif.com/sites/default/files/documentation/esp32-c3-mini-1_datasheet_en.pdf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hegioiic.com/led-xanh-duong-0805-dan-smd-trong-suot" TargetMode="External"/><Relationship Id="rId13" Type="http://schemas.openxmlformats.org/officeDocument/2006/relationships/hyperlink" Target="https://www.thegioiic.com/dien-tro-5-1-kohm-0805-5-" TargetMode="External"/><Relationship Id="rId18" Type="http://schemas.openxmlformats.org/officeDocument/2006/relationships/hyperlink" Target="https://www.thegioiic.com/mss-22d18g2-cong-tac-truot-6-chan-smd-2p2t" TargetMode="External"/><Relationship Id="rId3" Type="http://schemas.openxmlformats.org/officeDocument/2006/relationships/hyperlink" Target="https://www.thegioiic.com/tu-gom-0805-4-7uf-50v" TargetMode="External"/><Relationship Id="rId21" Type="http://schemas.openxmlformats.org/officeDocument/2006/relationships/hyperlink" Target="https://www.thegioiic.com/ams1117-3-3v-ic-on-ap-3-3v-1a-sot-223" TargetMode="External"/><Relationship Id="rId7" Type="http://schemas.openxmlformats.org/officeDocument/2006/relationships/hyperlink" Target="https://www.thegioiic.com/led-xanh-la-0805-dan-smd-trong-suot" TargetMode="External"/><Relationship Id="rId12" Type="http://schemas.openxmlformats.org/officeDocument/2006/relationships/hyperlink" Target="https://www.thegioiic.com/dien-tro-1-kohm-0805-5-" TargetMode="External"/><Relationship Id="rId17" Type="http://schemas.openxmlformats.org/officeDocument/2006/relationships/hyperlink" Target="https://www.thegioiic.com/dien-tro-200-kohm-0805-1-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https://www.thegioiic.com/tu-gom-0805-100nf-0-1uf-50v" TargetMode="External"/><Relationship Id="rId16" Type="http://schemas.openxmlformats.org/officeDocument/2006/relationships/hyperlink" Target="https://www.thegioiic.com/dien-tro-4-7-kohm-0805-5-" TargetMode="External"/><Relationship Id="rId20" Type="http://schemas.openxmlformats.org/officeDocument/2006/relationships/hyperlink" Target="https://www.thegioiic.com/nut-nhan-6x6mm-cao-7mm-4-chan-smd" TargetMode="External"/><Relationship Id="rId1" Type="http://schemas.openxmlformats.org/officeDocument/2006/relationships/hyperlink" Target="https://www.thegioiic.com/tu-gom-0805-10uf-16v" TargetMode="External"/><Relationship Id="rId6" Type="http://schemas.openxmlformats.org/officeDocument/2006/relationships/hyperlink" Target="https://www.thegioiic.com/led-do-0805-dan-smd-trong-suot" TargetMode="External"/><Relationship Id="rId11" Type="http://schemas.openxmlformats.org/officeDocument/2006/relationships/hyperlink" Target="https://www.thegioiic.com/dien-tro-100-kohm-0805-1-" TargetMode="External"/><Relationship Id="rId24" Type="http://schemas.openxmlformats.org/officeDocument/2006/relationships/hyperlink" Target="https://dientutuyetnga.com/products/thu-phat-wifi-esp32-c3-mini-1-n4-2-4ghz-ble-5-0" TargetMode="External"/><Relationship Id="rId5" Type="http://schemas.openxmlformats.org/officeDocument/2006/relationships/hyperlink" Target="https://www.thegioiic.com/ss14-sma-diode-schottky-1a-1n5819" TargetMode="External"/><Relationship Id="rId15" Type="http://schemas.openxmlformats.org/officeDocument/2006/relationships/hyperlink" Target="https://www.thegioiic.com/dien-tro-10-kohm-0805-5-" TargetMode="External"/><Relationship Id="rId23" Type="http://schemas.openxmlformats.org/officeDocument/2006/relationships/hyperlink" Target="https://icdayroi.com/usblc6-2sc6-tvs-diode-5-25v-17v-sot23-6" TargetMode="External"/><Relationship Id="rId10" Type="http://schemas.openxmlformats.org/officeDocument/2006/relationships/hyperlink" Target="https://www.thegioiic.com/ao3401a-mosfet-kenh-p-30v-4a-sot23" TargetMode="External"/><Relationship Id="rId19" Type="http://schemas.openxmlformats.org/officeDocument/2006/relationships/hyperlink" Target="https://www.thegioiic.com/nut-nhan-3x4mm-cao-2-5mm-2-chan-smd" TargetMode="External"/><Relationship Id="rId4" Type="http://schemas.openxmlformats.org/officeDocument/2006/relationships/hyperlink" Target="https://www.thegioiic.com/tu-gom-0805-1uf-16v" TargetMode="External"/><Relationship Id="rId9" Type="http://schemas.openxmlformats.org/officeDocument/2006/relationships/hyperlink" Target="https://www.thegioiic.com/cong-usb-cai-3-1-type-c-16-chan-thang-dan-smd" TargetMode="External"/><Relationship Id="rId14" Type="http://schemas.openxmlformats.org/officeDocument/2006/relationships/hyperlink" Target="https://www.thegioiic.com/dien-tro-22-ohm-0805-5-" TargetMode="External"/><Relationship Id="rId22" Type="http://schemas.openxmlformats.org/officeDocument/2006/relationships/hyperlink" Target="https://icdayroi.com/tu-tantalum-22uf-16v-smd35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8"/>
  <sheetViews>
    <sheetView zoomScale="70" zoomScaleNormal="70" workbookViewId="0">
      <pane ySplit="1" topLeftCell="A2" activePane="bottomLeft" state="frozen"/>
      <selection pane="bottomLeft" activeCell="J12" sqref="A1:XFD1048576"/>
    </sheetView>
  </sheetViews>
  <sheetFormatPr defaultRowHeight="15" x14ac:dyDescent="0.25"/>
  <cols>
    <col min="1" max="1" width="10" customWidth="1"/>
    <col min="2" max="2" width="22" customWidth="1"/>
    <col min="3" max="3" width="7" customWidth="1"/>
    <col min="4" max="4" width="18" customWidth="1"/>
    <col min="5" max="5" width="44" customWidth="1"/>
    <col min="6" max="6" width="52" customWidth="1"/>
    <col min="7" max="7" width="48" customWidth="1"/>
    <col min="8" max="8" width="44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3" spans="1:8" x14ac:dyDescent="0.25">
      <c r="A3" s="7" t="s">
        <v>8</v>
      </c>
      <c r="B3" s="8"/>
      <c r="C3" s="8"/>
      <c r="D3" s="8"/>
      <c r="E3" s="8"/>
      <c r="F3" s="8"/>
      <c r="G3" s="8"/>
      <c r="H3" s="9"/>
    </row>
    <row r="4" spans="1:8" x14ac:dyDescent="0.25">
      <c r="A4" s="2"/>
      <c r="B4" s="2" t="s">
        <v>9</v>
      </c>
      <c r="C4" s="2">
        <v>2</v>
      </c>
      <c r="D4" s="2" t="s">
        <v>10</v>
      </c>
      <c r="E4" s="3" t="s">
        <v>11</v>
      </c>
      <c r="F4" s="4" t="s">
        <v>12</v>
      </c>
      <c r="G4" s="3" t="s">
        <v>13</v>
      </c>
      <c r="H4" s="3"/>
    </row>
    <row r="5" spans="1:8" x14ac:dyDescent="0.25">
      <c r="A5" s="2"/>
      <c r="B5" s="2" t="s">
        <v>14</v>
      </c>
      <c r="C5" s="2">
        <v>5</v>
      </c>
      <c r="D5" s="2" t="s">
        <v>15</v>
      </c>
      <c r="E5" s="3" t="s">
        <v>11</v>
      </c>
      <c r="F5" s="4" t="s">
        <v>16</v>
      </c>
      <c r="G5" s="3" t="s">
        <v>17</v>
      </c>
      <c r="H5" s="3"/>
    </row>
    <row r="6" spans="1:8" x14ac:dyDescent="0.25">
      <c r="A6" s="2"/>
      <c r="B6" s="2" t="s">
        <v>18</v>
      </c>
      <c r="C6" s="2">
        <v>1</v>
      </c>
      <c r="D6" s="2" t="s">
        <v>19</v>
      </c>
      <c r="E6" s="3" t="s">
        <v>11</v>
      </c>
      <c r="F6" s="4" t="s">
        <v>20</v>
      </c>
      <c r="G6" s="3" t="s">
        <v>21</v>
      </c>
      <c r="H6" s="3"/>
    </row>
    <row r="7" spans="1:8" x14ac:dyDescent="0.25">
      <c r="A7" s="2"/>
      <c r="B7" s="2" t="s">
        <v>22</v>
      </c>
      <c r="C7" s="2">
        <v>1</v>
      </c>
      <c r="D7" s="2" t="s">
        <v>23</v>
      </c>
      <c r="E7" s="3" t="s">
        <v>11</v>
      </c>
      <c r="F7" s="4" t="s">
        <v>24</v>
      </c>
      <c r="G7" s="3" t="s">
        <v>25</v>
      </c>
      <c r="H7" s="3"/>
    </row>
    <row r="8" spans="1:8" ht="26.45" customHeight="1" x14ac:dyDescent="0.25">
      <c r="A8" s="2"/>
      <c r="B8" s="2" t="s">
        <v>26</v>
      </c>
      <c r="C8" s="2">
        <v>1</v>
      </c>
      <c r="D8" s="2" t="s">
        <v>27</v>
      </c>
      <c r="E8" s="3" t="s">
        <v>28</v>
      </c>
      <c r="F8" s="4" t="s">
        <v>29</v>
      </c>
      <c r="G8" s="3" t="s">
        <v>30</v>
      </c>
      <c r="H8" s="4" t="s">
        <v>31</v>
      </c>
    </row>
    <row r="9" spans="1:8" x14ac:dyDescent="0.25">
      <c r="A9" s="2"/>
      <c r="B9" s="2" t="s">
        <v>32</v>
      </c>
      <c r="C9" s="2">
        <v>1</v>
      </c>
      <c r="D9" s="2" t="s">
        <v>33</v>
      </c>
      <c r="E9" s="3" t="s">
        <v>34</v>
      </c>
      <c r="F9" s="4" t="s">
        <v>35</v>
      </c>
      <c r="G9" s="3" t="s">
        <v>36</v>
      </c>
      <c r="H9" s="3"/>
    </row>
    <row r="10" spans="1:8" ht="26.45" customHeight="1" x14ac:dyDescent="0.25">
      <c r="A10" s="2"/>
      <c r="B10" s="2" t="s">
        <v>37</v>
      </c>
      <c r="C10" s="2">
        <v>1</v>
      </c>
      <c r="D10" s="2" t="s">
        <v>38</v>
      </c>
      <c r="E10" s="3" t="s">
        <v>34</v>
      </c>
      <c r="F10" s="4" t="s">
        <v>39</v>
      </c>
      <c r="G10" s="3" t="s">
        <v>40</v>
      </c>
      <c r="H10" s="3"/>
    </row>
    <row r="11" spans="1:8" ht="26.45" customHeight="1" x14ac:dyDescent="0.25">
      <c r="A11" s="2"/>
      <c r="B11" s="2" t="s">
        <v>41</v>
      </c>
      <c r="C11" s="2">
        <v>1</v>
      </c>
      <c r="D11" s="2" t="s">
        <v>42</v>
      </c>
      <c r="E11" s="3" t="s">
        <v>34</v>
      </c>
      <c r="F11" s="4" t="s">
        <v>43</v>
      </c>
      <c r="G11" s="3" t="s">
        <v>44</v>
      </c>
      <c r="H11" s="3"/>
    </row>
    <row r="12" spans="1:8" ht="26.45" customHeight="1" x14ac:dyDescent="0.25">
      <c r="A12" s="2"/>
      <c r="B12" s="2" t="s">
        <v>45</v>
      </c>
      <c r="C12" s="2">
        <v>1</v>
      </c>
      <c r="D12" s="2" t="s">
        <v>46</v>
      </c>
      <c r="E12" s="3" t="s">
        <v>47</v>
      </c>
      <c r="F12" s="4" t="s">
        <v>48</v>
      </c>
      <c r="G12" s="3" t="s">
        <v>49</v>
      </c>
      <c r="H12" s="4" t="s">
        <v>50</v>
      </c>
    </row>
    <row r="13" spans="1:8" ht="26.45" customHeight="1" x14ac:dyDescent="0.25">
      <c r="A13" s="2"/>
      <c r="B13" s="2" t="s">
        <v>51</v>
      </c>
      <c r="C13" s="2">
        <v>1</v>
      </c>
      <c r="D13" s="2" t="s">
        <v>52</v>
      </c>
      <c r="E13" s="3" t="s">
        <v>53</v>
      </c>
      <c r="F13" s="4" t="s">
        <v>54</v>
      </c>
      <c r="G13" s="3" t="s">
        <v>55</v>
      </c>
      <c r="H13" s="4" t="s">
        <v>56</v>
      </c>
    </row>
    <row r="14" spans="1:8" x14ac:dyDescent="0.25">
      <c r="A14" s="2"/>
      <c r="B14" s="2" t="s">
        <v>57</v>
      </c>
      <c r="C14" s="2">
        <v>2</v>
      </c>
      <c r="D14" s="2" t="s">
        <v>58</v>
      </c>
      <c r="E14" s="3" t="s">
        <v>59</v>
      </c>
      <c r="F14" s="4" t="s">
        <v>60</v>
      </c>
      <c r="G14" s="3" t="s">
        <v>61</v>
      </c>
      <c r="H14" s="3"/>
    </row>
    <row r="15" spans="1:8" x14ac:dyDescent="0.25">
      <c r="A15" s="2"/>
      <c r="B15" s="2" t="s">
        <v>62</v>
      </c>
      <c r="C15" s="2">
        <v>3</v>
      </c>
      <c r="D15" s="2" t="s">
        <v>63</v>
      </c>
      <c r="E15" s="3" t="s">
        <v>59</v>
      </c>
      <c r="F15" s="4" t="s">
        <v>64</v>
      </c>
      <c r="G15" s="3" t="s">
        <v>65</v>
      </c>
      <c r="H15" s="3"/>
    </row>
    <row r="16" spans="1:8" x14ac:dyDescent="0.25">
      <c r="A16" s="2"/>
      <c r="B16" s="2" t="s">
        <v>66</v>
      </c>
      <c r="C16" s="2">
        <v>2</v>
      </c>
      <c r="D16" s="2" t="s">
        <v>67</v>
      </c>
      <c r="E16" s="3" t="s">
        <v>59</v>
      </c>
      <c r="F16" s="4" t="s">
        <v>68</v>
      </c>
      <c r="G16" s="3" t="s">
        <v>69</v>
      </c>
      <c r="H16" s="3"/>
    </row>
    <row r="17" spans="1:8" x14ac:dyDescent="0.25">
      <c r="A17" s="2"/>
      <c r="B17" s="2" t="s">
        <v>70</v>
      </c>
      <c r="C17" s="2">
        <v>2</v>
      </c>
      <c r="D17" s="2" t="s">
        <v>71</v>
      </c>
      <c r="E17" s="3" t="s">
        <v>59</v>
      </c>
      <c r="F17" s="4" t="s">
        <v>72</v>
      </c>
      <c r="G17" s="3" t="s">
        <v>73</v>
      </c>
      <c r="H17" s="3"/>
    </row>
    <row r="18" spans="1:8" x14ac:dyDescent="0.25">
      <c r="A18" s="2"/>
      <c r="B18" s="2" t="s">
        <v>74</v>
      </c>
      <c r="C18" s="2">
        <v>4</v>
      </c>
      <c r="D18" s="2" t="s">
        <v>75</v>
      </c>
      <c r="E18" s="3" t="s">
        <v>59</v>
      </c>
      <c r="F18" s="4" t="s">
        <v>76</v>
      </c>
      <c r="G18" s="3" t="s">
        <v>77</v>
      </c>
      <c r="H18" s="3"/>
    </row>
    <row r="19" spans="1:8" x14ac:dyDescent="0.25">
      <c r="A19" s="2"/>
      <c r="B19" s="2" t="s">
        <v>78</v>
      </c>
      <c r="C19" s="2">
        <v>2</v>
      </c>
      <c r="D19" s="2" t="s">
        <v>79</v>
      </c>
      <c r="E19" s="3" t="s">
        <v>59</v>
      </c>
      <c r="F19" s="4" t="s">
        <v>80</v>
      </c>
      <c r="G19" s="3" t="s">
        <v>81</v>
      </c>
      <c r="H19" s="3"/>
    </row>
    <row r="20" spans="1:8" x14ac:dyDescent="0.25">
      <c r="A20" s="2"/>
      <c r="B20" s="2" t="s">
        <v>82</v>
      </c>
      <c r="C20" s="2">
        <v>1</v>
      </c>
      <c r="D20" s="2" t="s">
        <v>83</v>
      </c>
      <c r="E20" s="3" t="s">
        <v>59</v>
      </c>
      <c r="F20" s="4" t="s">
        <v>84</v>
      </c>
      <c r="G20" s="3" t="s">
        <v>85</v>
      </c>
      <c r="H20" s="3"/>
    </row>
    <row r="21" spans="1:8" ht="26.45" customHeight="1" x14ac:dyDescent="0.25">
      <c r="A21" s="2"/>
      <c r="B21" s="2" t="s">
        <v>86</v>
      </c>
      <c r="C21" s="2">
        <v>1</v>
      </c>
      <c r="D21" s="2" t="s">
        <v>87</v>
      </c>
      <c r="E21" s="3" t="s">
        <v>88</v>
      </c>
      <c r="F21" s="4" t="s">
        <v>89</v>
      </c>
      <c r="G21" s="3" t="s">
        <v>90</v>
      </c>
      <c r="H21" s="3"/>
    </row>
    <row r="22" spans="1:8" ht="26.45" customHeight="1" x14ac:dyDescent="0.25">
      <c r="A22" s="2"/>
      <c r="B22" s="2" t="s">
        <v>91</v>
      </c>
      <c r="C22" s="2">
        <v>2</v>
      </c>
      <c r="D22" s="2" t="s">
        <v>92</v>
      </c>
      <c r="E22" s="3" t="s">
        <v>93</v>
      </c>
      <c r="F22" s="4" t="s">
        <v>94</v>
      </c>
      <c r="G22" s="3" t="s">
        <v>95</v>
      </c>
      <c r="H22" s="3"/>
    </row>
    <row r="23" spans="1:8" ht="52.9" customHeight="1" x14ac:dyDescent="0.25">
      <c r="A23" s="2"/>
      <c r="B23" s="2" t="s">
        <v>96</v>
      </c>
      <c r="C23" s="2">
        <v>13</v>
      </c>
      <c r="D23" s="2" t="s">
        <v>97</v>
      </c>
      <c r="E23" s="3" t="s">
        <v>98</v>
      </c>
      <c r="F23" s="4" t="s">
        <v>99</v>
      </c>
      <c r="G23" s="3" t="s">
        <v>100</v>
      </c>
      <c r="H23" s="3"/>
    </row>
    <row r="24" spans="1:8" ht="26.45" customHeight="1" x14ac:dyDescent="0.25">
      <c r="A24" s="2"/>
      <c r="B24" s="2" t="s">
        <v>101</v>
      </c>
      <c r="C24" s="2">
        <v>1</v>
      </c>
      <c r="D24" s="2" t="s">
        <v>102</v>
      </c>
      <c r="E24" s="3" t="s">
        <v>103</v>
      </c>
      <c r="F24" s="4" t="s">
        <v>104</v>
      </c>
      <c r="G24" s="3" t="s">
        <v>105</v>
      </c>
      <c r="H24" s="4" t="s">
        <v>106</v>
      </c>
    </row>
    <row r="26" spans="1:8" x14ac:dyDescent="0.25">
      <c r="A26" s="7" t="s">
        <v>107</v>
      </c>
      <c r="B26" s="8"/>
      <c r="C26" s="8"/>
      <c r="D26" s="8"/>
      <c r="E26" s="8"/>
      <c r="F26" s="8"/>
      <c r="G26" s="8"/>
      <c r="H26" s="9"/>
    </row>
    <row r="27" spans="1:8" ht="26.45" customHeight="1" x14ac:dyDescent="0.25">
      <c r="A27" s="2"/>
      <c r="B27" s="2" t="s">
        <v>108</v>
      </c>
      <c r="C27" s="2">
        <v>1</v>
      </c>
      <c r="D27" s="2" t="s">
        <v>109</v>
      </c>
      <c r="E27" s="3" t="s">
        <v>110</v>
      </c>
      <c r="F27" s="4" t="s">
        <v>111</v>
      </c>
      <c r="G27" s="3" t="s">
        <v>112</v>
      </c>
      <c r="H27" s="3"/>
    </row>
    <row r="28" spans="1:8" ht="26.45" customHeight="1" x14ac:dyDescent="0.25">
      <c r="A28" s="2"/>
      <c r="B28" s="2" t="s">
        <v>113</v>
      </c>
      <c r="C28" s="2">
        <v>1</v>
      </c>
      <c r="D28" s="2" t="s">
        <v>114</v>
      </c>
      <c r="E28" s="3" t="s">
        <v>115</v>
      </c>
      <c r="F28" s="4" t="s">
        <v>116</v>
      </c>
      <c r="G28" s="3" t="s">
        <v>117</v>
      </c>
      <c r="H28" s="4" t="s">
        <v>118</v>
      </c>
    </row>
    <row r="30" spans="1:8" x14ac:dyDescent="0.25">
      <c r="A30" s="7" t="s">
        <v>119</v>
      </c>
      <c r="B30" s="8"/>
      <c r="C30" s="8"/>
      <c r="D30" s="8"/>
      <c r="E30" s="8"/>
      <c r="F30" s="8"/>
      <c r="G30" s="8"/>
      <c r="H30" s="9"/>
    </row>
    <row r="31" spans="1:8" ht="26.45" customHeight="1" x14ac:dyDescent="0.25">
      <c r="A31" s="2"/>
      <c r="B31" s="2" t="s">
        <v>120</v>
      </c>
      <c r="C31" s="2">
        <v>1</v>
      </c>
      <c r="D31" s="2" t="s">
        <v>121</v>
      </c>
      <c r="E31" s="3" t="s">
        <v>122</v>
      </c>
      <c r="F31" s="4" t="s">
        <v>123</v>
      </c>
      <c r="G31" s="3" t="s">
        <v>124</v>
      </c>
      <c r="H31" s="4" t="s">
        <v>125</v>
      </c>
    </row>
    <row r="33" spans="1:8" x14ac:dyDescent="0.25">
      <c r="A33" s="7" t="s">
        <v>126</v>
      </c>
      <c r="B33" s="8"/>
      <c r="C33" s="8"/>
      <c r="D33" s="8"/>
      <c r="E33" s="8"/>
      <c r="F33" s="8"/>
      <c r="G33" s="8"/>
      <c r="H33" s="9"/>
    </row>
    <row r="34" spans="1:8" x14ac:dyDescent="0.25">
      <c r="A34" s="2"/>
      <c r="B34" s="2" t="s">
        <v>127</v>
      </c>
      <c r="C34" s="2">
        <v>4</v>
      </c>
      <c r="D34" s="2" t="s">
        <v>128</v>
      </c>
      <c r="E34" s="3" t="s">
        <v>129</v>
      </c>
      <c r="F34" s="3"/>
      <c r="G34" s="3" t="s">
        <v>130</v>
      </c>
      <c r="H34" s="3"/>
    </row>
    <row r="35" spans="1:8" ht="26.45" customHeight="1" x14ac:dyDescent="0.25">
      <c r="A35" s="2"/>
      <c r="B35" s="2" t="s">
        <v>131</v>
      </c>
      <c r="C35" s="2">
        <v>1</v>
      </c>
      <c r="D35" s="2" t="s">
        <v>132</v>
      </c>
      <c r="E35" s="3" t="s">
        <v>133</v>
      </c>
      <c r="F35" s="3" t="s">
        <v>134</v>
      </c>
      <c r="G35" s="3" t="s">
        <v>135</v>
      </c>
      <c r="H35" s="3"/>
    </row>
    <row r="36" spans="1:8" ht="26.45" customHeight="1" x14ac:dyDescent="0.25">
      <c r="A36" s="2"/>
      <c r="B36" s="2" t="s">
        <v>136</v>
      </c>
      <c r="C36" s="2">
        <v>1</v>
      </c>
      <c r="D36" s="2" t="s">
        <v>137</v>
      </c>
      <c r="E36" s="3" t="s">
        <v>138</v>
      </c>
      <c r="F36" s="3" t="s">
        <v>134</v>
      </c>
      <c r="G36" s="3" t="s">
        <v>139</v>
      </c>
      <c r="H36" s="3"/>
    </row>
    <row r="38" spans="1:8" ht="26.45" customHeight="1" x14ac:dyDescent="0.25">
      <c r="A38" s="5"/>
      <c r="B38" s="5" t="s">
        <v>140</v>
      </c>
      <c r="C38" s="5">
        <f>SUM(C2:C37)</f>
        <v>57</v>
      </c>
      <c r="D38" s="5"/>
      <c r="E38" s="6"/>
      <c r="F38" s="6"/>
      <c r="G38" s="6" t="s">
        <v>141</v>
      </c>
      <c r="H38" s="6"/>
    </row>
  </sheetData>
  <mergeCells count="4">
    <mergeCell ref="A26:H26"/>
    <mergeCell ref="A3:H3"/>
    <mergeCell ref="A30:H30"/>
    <mergeCell ref="A33:H33"/>
  </mergeCells>
  <hyperlinks>
    <hyperlink ref="F4" r:id="rId1" xr:uid="{00000000-0004-0000-0000-000000000000}"/>
    <hyperlink ref="F5" r:id="rId2" xr:uid="{00000000-0004-0000-0000-000001000000}"/>
    <hyperlink ref="F6" r:id="rId3" xr:uid="{00000000-0004-0000-0000-000002000000}"/>
    <hyperlink ref="F7" r:id="rId4" xr:uid="{00000000-0004-0000-0000-000003000000}"/>
    <hyperlink ref="F8" r:id="rId5" xr:uid="{00000000-0004-0000-0000-000004000000}"/>
    <hyperlink ref="H8" r:id="rId6" xr:uid="{00000000-0004-0000-0000-000005000000}"/>
    <hyperlink ref="F9" r:id="rId7" xr:uid="{00000000-0004-0000-0000-000006000000}"/>
    <hyperlink ref="F10" r:id="rId8" xr:uid="{00000000-0004-0000-0000-000007000000}"/>
    <hyperlink ref="F11" r:id="rId9" xr:uid="{00000000-0004-0000-0000-000008000000}"/>
    <hyperlink ref="F12" r:id="rId10" xr:uid="{00000000-0004-0000-0000-000009000000}"/>
    <hyperlink ref="H12" r:id="rId11" xr:uid="{00000000-0004-0000-0000-00000A000000}"/>
    <hyperlink ref="F13" r:id="rId12" xr:uid="{00000000-0004-0000-0000-00000B000000}"/>
    <hyperlink ref="H13" r:id="rId13" xr:uid="{00000000-0004-0000-0000-00000C000000}"/>
    <hyperlink ref="F14" r:id="rId14" xr:uid="{00000000-0004-0000-0000-00000D000000}"/>
    <hyperlink ref="F15" r:id="rId15" xr:uid="{00000000-0004-0000-0000-00000E000000}"/>
    <hyperlink ref="F16" r:id="rId16" xr:uid="{00000000-0004-0000-0000-00000F000000}"/>
    <hyperlink ref="F17" r:id="rId17" xr:uid="{00000000-0004-0000-0000-000010000000}"/>
    <hyperlink ref="F18" r:id="rId18" xr:uid="{00000000-0004-0000-0000-000011000000}"/>
    <hyperlink ref="F19" r:id="rId19" xr:uid="{00000000-0004-0000-0000-000012000000}"/>
    <hyperlink ref="F20" r:id="rId20" xr:uid="{00000000-0004-0000-0000-000013000000}"/>
    <hyperlink ref="F21" r:id="rId21" xr:uid="{00000000-0004-0000-0000-000014000000}"/>
    <hyperlink ref="F22" r:id="rId22" xr:uid="{00000000-0004-0000-0000-000015000000}"/>
    <hyperlink ref="F23" r:id="rId23" xr:uid="{00000000-0004-0000-0000-000016000000}"/>
    <hyperlink ref="F24" r:id="rId24" xr:uid="{00000000-0004-0000-0000-000017000000}"/>
    <hyperlink ref="H24" r:id="rId25" xr:uid="{00000000-0004-0000-0000-000018000000}"/>
    <hyperlink ref="F27" r:id="rId26" xr:uid="{00000000-0004-0000-0000-000019000000}"/>
    <hyperlink ref="F28" r:id="rId27" xr:uid="{00000000-0004-0000-0000-00001A000000}"/>
    <hyperlink ref="H28" r:id="rId28" xr:uid="{00000000-0004-0000-0000-00001B000000}"/>
    <hyperlink ref="F31" r:id="rId29" xr:uid="{00000000-0004-0000-0000-00001C000000}"/>
    <hyperlink ref="H31" r:id="rId30" xr:uid="{00000000-0004-0000-0000-00001D000000}"/>
  </hyperlink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tabSelected="1" zoomScaleNormal="100" workbookViewId="0">
      <selection activeCell="I10" sqref="I10"/>
    </sheetView>
  </sheetViews>
  <sheetFormatPr defaultRowHeight="15" x14ac:dyDescent="0.25"/>
  <cols>
    <col min="1" max="1" width="10" customWidth="1"/>
    <col min="2" max="2" width="22" customWidth="1"/>
    <col min="3" max="3" width="7" customWidth="1"/>
    <col min="4" max="4" width="18" customWidth="1"/>
    <col min="5" max="5" width="44" customWidth="1"/>
    <col min="6" max="6" width="58.7109375" customWidth="1"/>
    <col min="7" max="7" width="4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3" spans="1:7" x14ac:dyDescent="0.25">
      <c r="A3" s="7" t="s">
        <v>8</v>
      </c>
      <c r="B3" s="8"/>
      <c r="C3" s="8"/>
      <c r="D3" s="8"/>
      <c r="E3" s="8"/>
      <c r="F3" s="8"/>
      <c r="G3" s="9"/>
    </row>
    <row r="4" spans="1:7" x14ac:dyDescent="0.25">
      <c r="A4" s="2"/>
      <c r="B4" s="2" t="s">
        <v>9</v>
      </c>
      <c r="C4" s="2">
        <v>2</v>
      </c>
      <c r="D4" s="2" t="s">
        <v>10</v>
      </c>
      <c r="E4" s="3" t="s">
        <v>11</v>
      </c>
      <c r="F4" s="4" t="s">
        <v>12</v>
      </c>
      <c r="G4" s="3" t="s">
        <v>13</v>
      </c>
    </row>
    <row r="5" spans="1:7" x14ac:dyDescent="0.25">
      <c r="A5" s="2"/>
      <c r="B5" s="2" t="s">
        <v>14</v>
      </c>
      <c r="C5" s="2">
        <v>5</v>
      </c>
      <c r="D5" s="2" t="s">
        <v>15</v>
      </c>
      <c r="E5" s="3" t="s">
        <v>11</v>
      </c>
      <c r="F5" s="4" t="s">
        <v>16</v>
      </c>
      <c r="G5" s="3" t="s">
        <v>17</v>
      </c>
    </row>
    <row r="6" spans="1:7" x14ac:dyDescent="0.25">
      <c r="A6" s="2"/>
      <c r="B6" s="2" t="s">
        <v>18</v>
      </c>
      <c r="C6" s="2">
        <v>1</v>
      </c>
      <c r="D6" s="2" t="s">
        <v>19</v>
      </c>
      <c r="E6" s="3" t="s">
        <v>11</v>
      </c>
      <c r="F6" s="4" t="s">
        <v>20</v>
      </c>
      <c r="G6" s="3" t="s">
        <v>21</v>
      </c>
    </row>
    <row r="7" spans="1:7" x14ac:dyDescent="0.25">
      <c r="A7" s="2"/>
      <c r="B7" s="2" t="s">
        <v>22</v>
      </c>
      <c r="C7" s="2">
        <v>1</v>
      </c>
      <c r="D7" s="2" t="s">
        <v>23</v>
      </c>
      <c r="E7" s="3" t="s">
        <v>11</v>
      </c>
      <c r="F7" s="4" t="s">
        <v>24</v>
      </c>
      <c r="G7" s="3" t="s">
        <v>25</v>
      </c>
    </row>
    <row r="8" spans="1:7" ht="26.45" customHeight="1" x14ac:dyDescent="0.25">
      <c r="A8" s="2"/>
      <c r="B8" s="2" t="s">
        <v>26</v>
      </c>
      <c r="C8" s="2">
        <v>1</v>
      </c>
      <c r="D8" s="2" t="s">
        <v>27</v>
      </c>
      <c r="E8" s="3" t="s">
        <v>28</v>
      </c>
      <c r="F8" s="4" t="s">
        <v>29</v>
      </c>
      <c r="G8" s="3" t="s">
        <v>30</v>
      </c>
    </row>
    <row r="9" spans="1:7" x14ac:dyDescent="0.25">
      <c r="A9" s="2"/>
      <c r="B9" s="2" t="s">
        <v>32</v>
      </c>
      <c r="C9" s="2">
        <v>1</v>
      </c>
      <c r="D9" s="2" t="s">
        <v>33</v>
      </c>
      <c r="E9" s="3" t="s">
        <v>34</v>
      </c>
      <c r="F9" s="4" t="s">
        <v>35</v>
      </c>
      <c r="G9" s="3" t="s">
        <v>36</v>
      </c>
    </row>
    <row r="10" spans="1:7" ht="26.45" customHeight="1" x14ac:dyDescent="0.25">
      <c r="A10" s="2"/>
      <c r="B10" s="2" t="s">
        <v>37</v>
      </c>
      <c r="C10" s="2">
        <v>1</v>
      </c>
      <c r="D10" s="2" t="s">
        <v>38</v>
      </c>
      <c r="E10" s="3" t="s">
        <v>34</v>
      </c>
      <c r="F10" s="4" t="s">
        <v>39</v>
      </c>
      <c r="G10" s="3" t="s">
        <v>40</v>
      </c>
    </row>
    <row r="11" spans="1:7" ht="26.45" customHeight="1" x14ac:dyDescent="0.25">
      <c r="A11" s="2"/>
      <c r="B11" s="2" t="s">
        <v>41</v>
      </c>
      <c r="C11" s="2">
        <v>1</v>
      </c>
      <c r="D11" s="2" t="s">
        <v>42</v>
      </c>
      <c r="E11" s="3" t="s">
        <v>34</v>
      </c>
      <c r="F11" s="4" t="s">
        <v>43</v>
      </c>
      <c r="G11" s="3" t="s">
        <v>44</v>
      </c>
    </row>
    <row r="12" spans="1:7" ht="26.45" customHeight="1" x14ac:dyDescent="0.25">
      <c r="A12" s="2"/>
      <c r="B12" s="2" t="s">
        <v>45</v>
      </c>
      <c r="C12" s="2">
        <v>1</v>
      </c>
      <c r="D12" s="2" t="s">
        <v>46</v>
      </c>
      <c r="E12" s="3" t="s">
        <v>47</v>
      </c>
      <c r="F12" s="4" t="s">
        <v>48</v>
      </c>
      <c r="G12" s="3" t="s">
        <v>49</v>
      </c>
    </row>
    <row r="13" spans="1:7" ht="26.45" customHeight="1" x14ac:dyDescent="0.25">
      <c r="A13" s="2"/>
      <c r="B13" s="2" t="s">
        <v>51</v>
      </c>
      <c r="C13" s="2">
        <v>1</v>
      </c>
      <c r="D13" s="2" t="s">
        <v>52</v>
      </c>
      <c r="E13" s="3" t="s">
        <v>53</v>
      </c>
      <c r="F13" s="4" t="s">
        <v>54</v>
      </c>
      <c r="G13" s="3" t="s">
        <v>55</v>
      </c>
    </row>
    <row r="14" spans="1:7" x14ac:dyDescent="0.25">
      <c r="A14" s="2"/>
      <c r="B14" s="2" t="s">
        <v>57</v>
      </c>
      <c r="C14" s="2">
        <v>2</v>
      </c>
      <c r="D14" s="2" t="s">
        <v>58</v>
      </c>
      <c r="E14" s="3" t="s">
        <v>59</v>
      </c>
      <c r="F14" s="4" t="s">
        <v>60</v>
      </c>
      <c r="G14" s="3" t="s">
        <v>61</v>
      </c>
    </row>
    <row r="15" spans="1:7" x14ac:dyDescent="0.25">
      <c r="A15" s="2"/>
      <c r="B15" s="2" t="s">
        <v>62</v>
      </c>
      <c r="C15" s="2">
        <v>3</v>
      </c>
      <c r="D15" s="2" t="s">
        <v>63</v>
      </c>
      <c r="E15" s="3" t="s">
        <v>59</v>
      </c>
      <c r="F15" s="4" t="s">
        <v>64</v>
      </c>
      <c r="G15" s="3" t="s">
        <v>65</v>
      </c>
    </row>
    <row r="16" spans="1:7" x14ac:dyDescent="0.25">
      <c r="A16" s="2"/>
      <c r="B16" s="2" t="s">
        <v>66</v>
      </c>
      <c r="C16" s="2">
        <v>2</v>
      </c>
      <c r="D16" s="2" t="s">
        <v>67</v>
      </c>
      <c r="E16" s="3" t="s">
        <v>59</v>
      </c>
      <c r="F16" s="4" t="s">
        <v>68</v>
      </c>
      <c r="G16" s="3" t="s">
        <v>69</v>
      </c>
    </row>
    <row r="17" spans="1:7" x14ac:dyDescent="0.25">
      <c r="A17" s="2"/>
      <c r="B17" s="2" t="s">
        <v>70</v>
      </c>
      <c r="C17" s="2">
        <v>2</v>
      </c>
      <c r="D17" s="2" t="s">
        <v>71</v>
      </c>
      <c r="E17" s="3" t="s">
        <v>59</v>
      </c>
      <c r="F17" s="4" t="s">
        <v>72</v>
      </c>
      <c r="G17" s="3" t="s">
        <v>73</v>
      </c>
    </row>
    <row r="18" spans="1:7" x14ac:dyDescent="0.25">
      <c r="A18" s="2"/>
      <c r="B18" s="2" t="s">
        <v>74</v>
      </c>
      <c r="C18" s="2">
        <v>4</v>
      </c>
      <c r="D18" s="2" t="s">
        <v>75</v>
      </c>
      <c r="E18" s="3" t="s">
        <v>59</v>
      </c>
      <c r="F18" s="4" t="s">
        <v>76</v>
      </c>
      <c r="G18" s="3" t="s">
        <v>77</v>
      </c>
    </row>
    <row r="19" spans="1:7" x14ac:dyDescent="0.25">
      <c r="A19" s="2"/>
      <c r="B19" s="2" t="s">
        <v>78</v>
      </c>
      <c r="C19" s="2">
        <v>2</v>
      </c>
      <c r="D19" s="2" t="s">
        <v>79</v>
      </c>
      <c r="E19" s="3" t="s">
        <v>59</v>
      </c>
      <c r="F19" s="4" t="s">
        <v>80</v>
      </c>
      <c r="G19" s="3" t="s">
        <v>81</v>
      </c>
    </row>
    <row r="20" spans="1:7" x14ac:dyDescent="0.25">
      <c r="A20" s="2"/>
      <c r="B20" s="2" t="s">
        <v>82</v>
      </c>
      <c r="C20" s="2">
        <v>1</v>
      </c>
      <c r="D20" s="2" t="s">
        <v>83</v>
      </c>
      <c r="E20" s="3" t="s">
        <v>59</v>
      </c>
      <c r="F20" s="4" t="s">
        <v>84</v>
      </c>
      <c r="G20" s="3" t="s">
        <v>85</v>
      </c>
    </row>
    <row r="21" spans="1:7" ht="26.45" customHeight="1" x14ac:dyDescent="0.25">
      <c r="A21" s="2"/>
      <c r="B21" s="2" t="s">
        <v>86</v>
      </c>
      <c r="C21" s="2">
        <v>1</v>
      </c>
      <c r="D21" s="2" t="s">
        <v>87</v>
      </c>
      <c r="E21" s="3" t="s">
        <v>88</v>
      </c>
      <c r="F21" s="4" t="s">
        <v>89</v>
      </c>
      <c r="G21" s="3" t="s">
        <v>90</v>
      </c>
    </row>
    <row r="22" spans="1:7" ht="26.45" customHeight="1" x14ac:dyDescent="0.25">
      <c r="A22" s="2"/>
      <c r="B22" s="2" t="s">
        <v>91</v>
      </c>
      <c r="C22" s="2">
        <v>2</v>
      </c>
      <c r="D22" s="2" t="s">
        <v>92</v>
      </c>
      <c r="E22" s="3" t="s">
        <v>93</v>
      </c>
      <c r="F22" s="4" t="s">
        <v>94</v>
      </c>
      <c r="G22" s="3" t="s">
        <v>95</v>
      </c>
    </row>
    <row r="23" spans="1:7" ht="52.9" customHeight="1" x14ac:dyDescent="0.25">
      <c r="A23" s="2"/>
      <c r="B23" s="2" t="s">
        <v>96</v>
      </c>
      <c r="C23" s="2">
        <v>13</v>
      </c>
      <c r="D23" s="2" t="s">
        <v>97</v>
      </c>
      <c r="E23" s="3" t="s">
        <v>98</v>
      </c>
      <c r="F23" s="4" t="s">
        <v>99</v>
      </c>
      <c r="G23" s="3" t="s">
        <v>100</v>
      </c>
    </row>
    <row r="24" spans="1:7" ht="26.45" customHeight="1" x14ac:dyDescent="0.25">
      <c r="A24" s="2"/>
      <c r="B24" s="2" t="s">
        <v>101</v>
      </c>
      <c r="C24" s="2">
        <v>1</v>
      </c>
      <c r="D24" s="2" t="s">
        <v>102</v>
      </c>
      <c r="E24" s="3" t="s">
        <v>103</v>
      </c>
      <c r="F24" s="4" t="s">
        <v>104</v>
      </c>
      <c r="G24" s="3" t="s">
        <v>105</v>
      </c>
    </row>
    <row r="26" spans="1:7" x14ac:dyDescent="0.25">
      <c r="A26" s="7" t="s">
        <v>107</v>
      </c>
      <c r="B26" s="8"/>
      <c r="C26" s="8"/>
      <c r="D26" s="8"/>
      <c r="E26" s="8"/>
      <c r="F26" s="8"/>
      <c r="G26" s="9"/>
    </row>
    <row r="27" spans="1:7" ht="26.45" customHeight="1" x14ac:dyDescent="0.25">
      <c r="A27" s="2"/>
      <c r="B27" s="2" t="s">
        <v>108</v>
      </c>
      <c r="C27" s="2">
        <v>1</v>
      </c>
      <c r="D27" s="2" t="s">
        <v>109</v>
      </c>
      <c r="E27" s="3" t="s">
        <v>110</v>
      </c>
      <c r="F27" s="4" t="s">
        <v>111</v>
      </c>
      <c r="G27" s="3" t="s">
        <v>112</v>
      </c>
    </row>
    <row r="28" spans="1:7" ht="26.45" customHeight="1" x14ac:dyDescent="0.25">
      <c r="A28" s="2"/>
      <c r="B28" s="2" t="s">
        <v>113</v>
      </c>
      <c r="C28" s="2">
        <v>1</v>
      </c>
      <c r="D28" s="2" t="s">
        <v>114</v>
      </c>
      <c r="E28" s="3" t="s">
        <v>115</v>
      </c>
      <c r="F28" s="4" t="s">
        <v>116</v>
      </c>
      <c r="G28" s="3" t="s">
        <v>117</v>
      </c>
    </row>
    <row r="30" spans="1:7" x14ac:dyDescent="0.25">
      <c r="A30" s="7" t="s">
        <v>119</v>
      </c>
      <c r="B30" s="8"/>
      <c r="C30" s="8"/>
      <c r="D30" s="8"/>
      <c r="E30" s="8"/>
      <c r="F30" s="8"/>
      <c r="G30" s="9"/>
    </row>
    <row r="31" spans="1:7" ht="26.45" customHeight="1" x14ac:dyDescent="0.25">
      <c r="A31" s="2"/>
      <c r="B31" s="2" t="s">
        <v>120</v>
      </c>
      <c r="C31" s="2">
        <v>1</v>
      </c>
      <c r="D31" s="2" t="s">
        <v>121</v>
      </c>
      <c r="E31" s="3" t="s">
        <v>122</v>
      </c>
      <c r="F31" s="4" t="s">
        <v>123</v>
      </c>
      <c r="G31" s="3" t="s">
        <v>124</v>
      </c>
    </row>
    <row r="33" spans="1:7" x14ac:dyDescent="0.25">
      <c r="A33" s="7" t="s">
        <v>126</v>
      </c>
      <c r="B33" s="8"/>
      <c r="C33" s="8"/>
      <c r="D33" s="8"/>
      <c r="E33" s="8"/>
      <c r="F33" s="8"/>
      <c r="G33" s="9"/>
    </row>
    <row r="34" spans="1:7" x14ac:dyDescent="0.25">
      <c r="A34" s="2"/>
      <c r="B34" s="2" t="s">
        <v>127</v>
      </c>
      <c r="C34" s="2">
        <v>4</v>
      </c>
      <c r="D34" s="2" t="s">
        <v>128</v>
      </c>
      <c r="E34" s="3" t="s">
        <v>142</v>
      </c>
      <c r="F34" s="3"/>
      <c r="G34" s="3" t="s">
        <v>130</v>
      </c>
    </row>
    <row r="35" spans="1:7" ht="26.45" customHeight="1" x14ac:dyDescent="0.25">
      <c r="A35" s="2"/>
      <c r="B35" s="2" t="s">
        <v>131</v>
      </c>
      <c r="C35" s="2">
        <v>1</v>
      </c>
      <c r="D35" s="2" t="s">
        <v>132</v>
      </c>
      <c r="E35" s="3" t="s">
        <v>143</v>
      </c>
      <c r="F35" s="3" t="s">
        <v>134</v>
      </c>
      <c r="G35" s="3" t="s">
        <v>135</v>
      </c>
    </row>
    <row r="36" spans="1:7" ht="26.45" customHeight="1" x14ac:dyDescent="0.25">
      <c r="A36" s="2"/>
      <c r="B36" s="2" t="s">
        <v>136</v>
      </c>
      <c r="C36" s="2">
        <v>1</v>
      </c>
      <c r="D36" s="2" t="s">
        <v>137</v>
      </c>
      <c r="E36" s="3" t="s">
        <v>144</v>
      </c>
      <c r="F36" s="3" t="s">
        <v>134</v>
      </c>
      <c r="G36" s="3" t="s">
        <v>139</v>
      </c>
    </row>
    <row r="38" spans="1:7" ht="26.45" customHeight="1" x14ac:dyDescent="0.25">
      <c r="A38" s="5"/>
      <c r="B38" s="5" t="s">
        <v>140</v>
      </c>
      <c r="C38" s="5">
        <f>SUM(C2:C37)</f>
        <v>57</v>
      </c>
      <c r="D38" s="5"/>
      <c r="E38" s="6"/>
      <c r="F38" s="6"/>
      <c r="G38" s="6" t="s">
        <v>145</v>
      </c>
    </row>
  </sheetData>
  <mergeCells count="4">
    <mergeCell ref="A26:G26"/>
    <mergeCell ref="A30:G30"/>
    <mergeCell ref="A33:G33"/>
    <mergeCell ref="A3:G3"/>
  </mergeCells>
  <hyperlinks>
    <hyperlink ref="F4" r:id="rId1" xr:uid="{00000000-0004-0000-0100-000000000000}"/>
    <hyperlink ref="F5" r:id="rId2" xr:uid="{00000000-0004-0000-0100-000001000000}"/>
    <hyperlink ref="F6" r:id="rId3" xr:uid="{00000000-0004-0000-0100-000002000000}"/>
    <hyperlink ref="F7" r:id="rId4" xr:uid="{00000000-0004-0000-0100-000003000000}"/>
    <hyperlink ref="F8" r:id="rId5" xr:uid="{00000000-0004-0000-0100-000004000000}"/>
    <hyperlink ref="F9" r:id="rId6" xr:uid="{00000000-0004-0000-0100-000005000000}"/>
    <hyperlink ref="F10" r:id="rId7" xr:uid="{00000000-0004-0000-0100-000006000000}"/>
    <hyperlink ref="F11" r:id="rId8" xr:uid="{00000000-0004-0000-0100-000007000000}"/>
    <hyperlink ref="F12" r:id="rId9" xr:uid="{00000000-0004-0000-0100-000008000000}"/>
    <hyperlink ref="F13" r:id="rId10" xr:uid="{00000000-0004-0000-0100-000009000000}"/>
    <hyperlink ref="F14" r:id="rId11" xr:uid="{00000000-0004-0000-0100-00000A000000}"/>
    <hyperlink ref="F15" r:id="rId12" xr:uid="{00000000-0004-0000-0100-00000B000000}"/>
    <hyperlink ref="F16" r:id="rId13" xr:uid="{00000000-0004-0000-0100-00000C000000}"/>
    <hyperlink ref="F17" r:id="rId14" xr:uid="{00000000-0004-0000-0100-00000D000000}"/>
    <hyperlink ref="F18" r:id="rId15" xr:uid="{00000000-0004-0000-0100-00000E000000}"/>
    <hyperlink ref="F19" r:id="rId16" xr:uid="{00000000-0004-0000-0100-00000F000000}"/>
    <hyperlink ref="F20" r:id="rId17" xr:uid="{00000000-0004-0000-0100-000010000000}"/>
    <hyperlink ref="F21" r:id="rId18" xr:uid="{00000000-0004-0000-0100-000011000000}"/>
    <hyperlink ref="F22" r:id="rId19" xr:uid="{00000000-0004-0000-0100-000012000000}"/>
    <hyperlink ref="F23" r:id="rId20" xr:uid="{00000000-0004-0000-0100-000013000000}"/>
    <hyperlink ref="F24" r:id="rId21" xr:uid="{00000000-0004-0000-0100-000014000000}"/>
    <hyperlink ref="F27" r:id="rId22" xr:uid="{00000000-0004-0000-0100-000015000000}"/>
    <hyperlink ref="F28" r:id="rId23" xr:uid="{00000000-0004-0000-0100-000016000000}"/>
    <hyperlink ref="F31" r:id="rId24" xr:uid="{00000000-0004-0000-0100-000017000000}"/>
  </hyperlinks>
  <pageMargins left="0.7" right="0.7" top="0.75" bottom="0.75" header="0.3" footer="0.3"/>
  <pageSetup orientation="portrait" horizontalDpi="0" verticalDpi="0" r:id="rId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</vt:lpstr>
      <vt:lpstr>Bom_Check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Nguyenn Nam1742</cp:lastModifiedBy>
  <cp:lastPrinted>2026-10-03T04:34:08Z</cp:lastPrinted>
  <dcterms:created xsi:type="dcterms:W3CDTF">2026-10-03T04:27:36Z</dcterms:created>
  <dcterms:modified xsi:type="dcterms:W3CDTF">2026-10-06T14:32:25Z</dcterms:modified>
</cp:coreProperties>
</file>